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name="_xlchart.v1.0" vbProcedure="false">Sheet1!$E$4:$E$13</definedName>
    <definedName function="false" hidden="true" name="_xlchart.v1.1" vbProcedure="false">Sheet1!$J$4:$J$13</definedName>
    <definedName function="false" hidden="true" name="_xlchart.v1.2" vbProcedure="false">Sheet1!$E$4:$E$13</definedName>
    <definedName function="false" hidden="true" name="_xlchart.v1.3" vbProcedure="false">Sheet1!$H$4:$H$13</definedName>
    <definedName function="false" hidden="true" name="_xlchart.v1.4" vbProcedure="false">Sheet1!$E$4:$E$13</definedName>
    <definedName function="false" hidden="true" name="_xlchart.v1.5" vbProcedure="false">Sheet1!$H$4:$H$13</definedName>
    <definedName function="false" hidden="true" name="_xlchart.v1.6" vbProcedure="false">Sheet1!$E$4:$E$13</definedName>
    <definedName function="false" hidden="true" name="_xlchart.v1.7" vbProcedure="false">Sheet1!$H$4:$H$13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<sst xmlns="http://schemas.openxmlformats.org/spreadsheetml/2006/main" count="15" uniqueCount="15">
  <si>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nx</t>
  </si>
  <si>
    <t xml:space="preserve">ny</t>
  </si>
  <si>
    <t xml:space="preserve">taille</t>
  </si>
  <si>
    <t xml:space="preserve">Algorithme séquentiel</t>
  </si>
  <si>
    <t xml:space="preserve">Algorithme parallèle 1D (2 proc.)</t>
  </si>
  <si>
    <t xml:space="preserve">Algorithme parallèle 1D (4 proc.)</t>
  </si>
  <si>
    <t xml:space="preserve">Algorithme parallèle 1D (8 proc.)</t>
  </si>
  <si>
    <t xml:space="preserve">Accélération 1D</t>
  </si>
  <si>
    <t xml:space="preserve">Algorithme parallèle 2D (2x2 proc.)</t>
  </si>
  <si>
    <t xml:space="preserve">Algorithme parallèle 2D (4x4 proc.)</t>
  </si>
  <si>
    <t xml:space="preserve">Accélération 2D</t>
  </si>
  <si>
    <t xml:space="preserve">Nombre de processus</t>
  </si>
  <si>
    <t xml:space="preserve">temps total</t>
  </si>
  <si>
    <t xml:space="preserve">Accélération observée</t>
  </si>
  <si>
    <t xml:space="preserve">Accélération idéale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</si>
</sst>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-* #,##0.00_-;\-* #,##0.00_-;_-* \-??_-;_-@_-"/>
    <numFmt numFmtId="166" formatCode="_-* #,##0_-;\-* #,##0_-;_-* \-??_-;_-@_-"/>
    <numFmt numFmtId="167" formatCode="General"/>
    <numFmt numFmtId="168" formatCode="0.0"/>
    <numFmt numFmtId="169" formatCode="_-* #\ ##0_-;\-* #\ ##0_-;_-* \-??_-;_-@_-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595959"/>
      <name val="Aptos Narrow"/>
      <family val="2"/>
    </font>
    <font>
      <sz val="10"/>
      <color rgb="FF595959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Sheet1!$F$3</c:f>
              <c:strCache>
                <c:ptCount val="1"/>
                <c:pt idx="0">
                  <c:v>Algorithme séquentiel</c:v>
                </c:pt>
              </c:strCache>
            </c:strRef>
          </c:tx>
          <c:spPr>
            <a:solidFill>
              <a:srgbClr val="156082"/>
            </a:solidFill>
            <a:ln cap="rnd" w="19080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Sheet1!$E$4:$E$13</c:f>
              <c:numCache>
                <c:formatCode>_-* #,##0_-;\-* #,##0_-;_-* \-??_-;_-@_-</c:formatCode>
                <c:ptCount val="10"/>
                <c:pt idx="0">
                  <c:v>64</c:v>
                </c:pt>
                <c:pt idx="1">
                  <c:v>16384</c:v>
                </c:pt>
                <c:pt idx="2">
                  <c:v>262144</c:v>
                </c:pt>
                <c:pt idx="3">
                  <c:v>1048576</c:v>
                </c:pt>
                <c:pt idx="4">
                  <c:v>2359296</c:v>
                </c:pt>
                <c:pt idx="5">
                  <c:v>4194304</c:v>
                </c:pt>
                <c:pt idx="6">
                  <c:v>6553600</c:v>
                </c:pt>
                <c:pt idx="7">
                  <c:v>9437184</c:v>
                </c:pt>
                <c:pt idx="8">
                  <c:v>12845056</c:v>
                </c:pt>
                <c:pt idx="9">
                  <c:v>16777216</c:v>
                </c:pt>
              </c:numCache>
            </c:numRef>
          </c:xVal>
          <c:yVal>
            <c:numRef>
              <c:f>Sheet1!$F$4:$F$13</c:f>
              <c:numCache>
                <c:formatCode>General</c:formatCode>
                <c:ptCount val="10"/>
                <c:pt idx="0">
                  <c:v>0.000365</c:v>
                </c:pt>
                <c:pt idx="1">
                  <c:v>0.081614</c:v>
                </c:pt>
                <c:pt idx="2">
                  <c:v>1.225512</c:v>
                </c:pt>
                <c:pt idx="3">
                  <c:v>5.412009</c:v>
                </c:pt>
                <c:pt idx="4">
                  <c:v>12.084238</c:v>
                </c:pt>
                <c:pt idx="5">
                  <c:v>36.685404</c:v>
                </c:pt>
                <c:pt idx="6">
                  <c:v>55.596339</c:v>
                </c:pt>
                <c:pt idx="7">
                  <c:v>77.436316</c:v>
                </c:pt>
                <c:pt idx="8">
                  <c:v>103.110808</c:v>
                </c:pt>
                <c:pt idx="9">
                  <c:v>122.031695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Sheet1!$G$3</c:f>
              <c:strCache>
                <c:ptCount val="1"/>
                <c:pt idx="0">
                  <c:v>Algorithme parallèle 1D (2 proc.)</c:v>
                </c:pt>
              </c:strCache>
            </c:strRef>
          </c:tx>
          <c:spPr>
            <a:solidFill>
              <a:srgbClr val="e97132"/>
            </a:solidFill>
            <a:ln cap="rnd" w="19080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Sheet1!$E$4:$E$13</c:f>
              <c:numCache>
                <c:formatCode>_-* #,##0_-;\-* #,##0_-;_-* \-??_-;_-@_-</c:formatCode>
                <c:ptCount val="10"/>
                <c:pt idx="0">
                  <c:v>64</c:v>
                </c:pt>
                <c:pt idx="1">
                  <c:v>16384</c:v>
                </c:pt>
                <c:pt idx="2">
                  <c:v>262144</c:v>
                </c:pt>
                <c:pt idx="3">
                  <c:v>1048576</c:v>
                </c:pt>
                <c:pt idx="4">
                  <c:v>2359296</c:v>
                </c:pt>
                <c:pt idx="5">
                  <c:v>4194304</c:v>
                </c:pt>
                <c:pt idx="6">
                  <c:v>6553600</c:v>
                </c:pt>
                <c:pt idx="7">
                  <c:v>9437184</c:v>
                </c:pt>
                <c:pt idx="8">
                  <c:v>12845056</c:v>
                </c:pt>
                <c:pt idx="9">
                  <c:v>16777216</c:v>
                </c:pt>
              </c:numCache>
            </c:numRef>
          </c:xVal>
          <c:yVal>
            <c:numRef>
              <c:f>Sheet1!$G$4:$G$13</c:f>
              <c:numCache>
                <c:formatCode>General</c:formatCode>
                <c:ptCount val="10"/>
                <c:pt idx="0">
                  <c:v>0.000746</c:v>
                </c:pt>
                <c:pt idx="1">
                  <c:v>0.040375</c:v>
                </c:pt>
                <c:pt idx="2">
                  <c:v>0.629426</c:v>
                </c:pt>
                <c:pt idx="3">
                  <c:v>3.004999</c:v>
                </c:pt>
                <c:pt idx="4">
                  <c:v>6.635054</c:v>
                </c:pt>
                <c:pt idx="5">
                  <c:v>11.918227</c:v>
                </c:pt>
                <c:pt idx="6">
                  <c:v>17.788388</c:v>
                </c:pt>
                <c:pt idx="7">
                  <c:v>39.829651</c:v>
                </c:pt>
                <c:pt idx="8">
                  <c:v>54.318331</c:v>
                </c:pt>
                <c:pt idx="9">
                  <c:v>71.433652</c:v>
                </c:pt>
              </c:numCache>
            </c:numRef>
          </c:yVal>
          <c:smooth val="1"/>
        </c:ser>
        <c:axId val="50379395"/>
        <c:axId val="49586247"/>
      </c:scatterChart>
      <c:valAx>
        <c:axId val="50379395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fr-FR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fr-FR" sz="1000" spc="-1" strike="noStrike">
                    <a:solidFill>
                      <a:srgbClr val="595959"/>
                    </a:solidFill>
                    <a:latin typeface="Aptos Narrow"/>
                  </a:rPr>
                  <a:t>Taille du maillage (Nx * Ny)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_-* #\ ##0_-;\-* #\ ##0_-;_-* \-??_-;_-@_-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9586247"/>
        <c:crosses val="autoZero"/>
        <c:crossBetween val="midCat"/>
      </c:valAx>
      <c:valAx>
        <c:axId val="49586247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fr-FR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fr-FR" sz="1000" spc="-1" strike="noStrike">
                    <a:solidFill>
                      <a:srgbClr val="595959"/>
                    </a:solidFill>
                    <a:latin typeface="Aptos Narrow"/>
                  </a:rPr>
                  <a:t>Temps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037939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Sheet1!$U$3:$U$3</c:f>
              <c:strCache>
                <c:ptCount val="1"/>
                <c:pt idx="0">
                  <c:v>Accélération observée</c:v>
                </c:pt>
              </c:strCache>
            </c:strRef>
          </c:tx>
          <c:spPr>
            <a:solidFill>
              <a:srgbClr val="156082"/>
            </a:solidFill>
            <a:ln cap="rnd" w="19080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Sheet1!$S$4:$S$7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</c:numCache>
            </c:numRef>
          </c:xVal>
          <c:yVal>
            <c:numRef>
              <c:f>Sheet1!$U$4:$U$7</c:f>
              <c:numCache>
                <c:formatCode>0.0</c:formatCode>
                <c:ptCount val="4"/>
                <c:pt idx="0">
                  <c:v>1</c:v>
                </c:pt>
                <c:pt idx="1">
                  <c:v>1.6745236542725</c:v>
                </c:pt>
                <c:pt idx="2">
                  <c:v>2.800863794537</c:v>
                </c:pt>
                <c:pt idx="3">
                  <c:v>3.68333674186357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Sheet1!$V$3:$V$3</c:f>
              <c:strCache>
                <c:ptCount val="1"/>
                <c:pt idx="0">
                  <c:v>Accélération idéale</c:v>
                </c:pt>
              </c:strCache>
            </c:strRef>
          </c:tx>
          <c:spPr>
            <a:solidFill>
              <a:srgbClr val="e97132"/>
            </a:solidFill>
            <a:ln cap="rnd" w="19080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Sheet1!$S$4:$S$7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</c:numCache>
            </c:numRef>
          </c:xVal>
          <c:yVal>
            <c:numRef>
              <c:f>Sheet1!$V$4:$V$7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</c:numCache>
            </c:numRef>
          </c:yVal>
          <c:smooth val="1"/>
        </c:ser>
        <c:axId val="45203859"/>
        <c:axId val="18312626"/>
      </c:scatterChart>
      <c:valAx>
        <c:axId val="452038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fr-FR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fr-FR" sz="1000" spc="-1" strike="noStrike">
                    <a:solidFill>
                      <a:srgbClr val="595959"/>
                    </a:solidFill>
                    <a:latin typeface="Aptos Narrow"/>
                  </a:rPr>
                  <a:t>Nombre de processus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8312626"/>
        <c:crosses val="autoZero"/>
        <c:crossBetween val="midCat"/>
      </c:valAx>
      <c:valAx>
        <c:axId val="1831262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fr-FR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fr-FR" sz="1000" spc="-1" strike="noStrike">
                    <a:solidFill>
                      <a:srgbClr val="595959"/>
                    </a:solidFill>
                    <a:latin typeface="Aptos Narrow"/>
                  </a:rPr>
                  <a:t>Accélération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520385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565920</xdr:colOff>
      <xdr:row>15</xdr:row>
      <xdr:rowOff>130680</xdr:rowOff>
    </xdr:from>
    <xdr:to>
      <xdr:col>6</xdr:col>
      <xdr:colOff>1877400</xdr:colOff>
      <xdr:row>34</xdr:row>
      <xdr:rowOff>163080</xdr:rowOff>
    </xdr:to>
    <xdr:graphicFrame>
      <xdr:nvGraphicFramePr>
        <xdr:cNvPr id="0" name="Chart 2"/>
        <xdr:cNvGraphicFramePr/>
      </xdr:nvGraphicFramePr>
      <xdr:xfrm>
        <a:off x="836280" y="3058560"/>
        <a:ext cx="6417720" cy="3471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2491920</xdr:colOff>
      <xdr:row>15</xdr:row>
      <xdr:rowOff>13320</xdr:rowOff>
    </xdr:from>
    <xdr:to>
      <xdr:col>11</xdr:col>
      <xdr:colOff>149400</xdr:colOff>
      <xdr:row>36</xdr:row>
      <xdr:rowOff>100080</xdr:rowOff>
    </xdr:to>
    <xdr:graphicFrame>
      <xdr:nvGraphicFramePr>
        <xdr:cNvPr id="1" name="Chart 6"/>
        <xdr:cNvGraphicFramePr/>
      </xdr:nvGraphicFramePr>
      <xdr:xfrm>
        <a:off x="7868520" y="2941200"/>
        <a:ext cx="9110880" cy="388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V13"/>
  <sheetViews>
    <sheetView showFormulas="false" showGridLines="fals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L5" activeCellId="0" sqref="L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3.38"/>
    <col collapsed="false" customWidth="true" hidden="false" outlineLevel="0" max="4" min="3" style="0" width="8.46"/>
    <col collapsed="false" customWidth="true" hidden="false" outlineLevel="0" max="5" min="5" style="0" width="18.92"/>
    <col collapsed="false" customWidth="true" hidden="false" outlineLevel="0" max="6" min="6" style="0" width="19.38"/>
    <col collapsed="false" customWidth="true" hidden="false" outlineLevel="0" max="9" min="7" style="0" width="35.53"/>
    <col collapsed="false" customWidth="true" hidden="false" outlineLevel="0" max="10" min="10" style="0" width="14.5"/>
    <col collapsed="false" customWidth="true" hidden="false" outlineLevel="0" max="11" min="11" style="0" width="22.06"/>
    <col collapsed="false" customWidth="true" hidden="false" outlineLevel="0" max="12" min="12" style="0" width="20.42"/>
    <col collapsed="false" customWidth="true" hidden="false" outlineLevel="0" max="13" min="13" style="0" width="18.79"/>
    <col collapsed="false" customWidth="true" hidden="false" outlineLevel="0" max="16" min="16" style="0" width="9.38"/>
  </cols>
  <sheetData>
    <row r="3" s="1" customFormat="true" ht="31.05" hidden="false" customHeight="true" outlineLevel="0" collapsed="false"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S3" s="1" t="s">
        <v>11</v>
      </c>
      <c r="T3" s="1" t="s">
        <v>12</v>
      </c>
      <c r="U3" s="1" t="s">
        <v>13</v>
      </c>
      <c r="V3" s="1" t="s">
        <v>14</v>
      </c>
    </row>
    <row r="4" customFormat="false" ht="14.25" hidden="false" customHeight="false" outlineLevel="0" collapsed="false">
      <c r="C4" s="0" t="n">
        <v>8</v>
      </c>
      <c r="D4" s="0" t="n">
        <f aca="false">C4</f>
        <v>8</v>
      </c>
      <c r="E4" s="2" t="n">
        <f aca="false">C4*D4</f>
        <v>64</v>
      </c>
      <c r="F4" s="0" t="n">
        <v>0.000365</v>
      </c>
      <c r="G4" s="0" t="n">
        <v>0.000746</v>
      </c>
      <c r="I4" s="0" t="n">
        <v>0.011583</v>
      </c>
      <c r="J4" s="3" t="n">
        <f aca="false">F4/G4</f>
        <v>0.489276139410188</v>
      </c>
      <c r="K4" s="0" t="n">
        <v>0.015735</v>
      </c>
      <c r="M4" s="3" t="n">
        <f aca="false">F4/K4</f>
        <v>0.0231966952653321</v>
      </c>
      <c r="S4" s="0" t="n">
        <v>1</v>
      </c>
      <c r="T4" s="0" t="n">
        <v>5.457147</v>
      </c>
      <c r="U4" s="4" t="n">
        <f aca="false">$T$4/T4</f>
        <v>1</v>
      </c>
      <c r="V4" s="3" t="n">
        <f aca="false">S4</f>
        <v>1</v>
      </c>
    </row>
    <row r="5" customFormat="false" ht="14.25" hidden="false" customHeight="false" outlineLevel="0" collapsed="false">
      <c r="C5" s="0" t="n">
        <v>128</v>
      </c>
      <c r="D5" s="0" t="n">
        <f aca="false">C5</f>
        <v>128</v>
      </c>
      <c r="E5" s="2" t="n">
        <f aca="false">C5*D5</f>
        <v>16384</v>
      </c>
      <c r="F5" s="0" t="n">
        <v>0.081614</v>
      </c>
      <c r="G5" s="0" t="n">
        <v>0.040375</v>
      </c>
      <c r="I5" s="0" t="n">
        <v>0.093756</v>
      </c>
      <c r="J5" s="3" t="n">
        <f aca="false">F5/G5</f>
        <v>2.02139938080495</v>
      </c>
      <c r="K5" s="0" t="n">
        <v>0.354055</v>
      </c>
      <c r="M5" s="3" t="n">
        <f aca="false">F5/K5</f>
        <v>0.230512208555168</v>
      </c>
      <c r="S5" s="0" t="n">
        <v>2</v>
      </c>
      <c r="T5" s="0" t="n">
        <v>3.258925</v>
      </c>
      <c r="U5" s="4" t="n">
        <f aca="false">$T$4/T5</f>
        <v>1.6745236542725</v>
      </c>
      <c r="V5" s="3" t="n">
        <f aca="false">S5</f>
        <v>2</v>
      </c>
    </row>
    <row r="6" customFormat="false" ht="14.25" hidden="false" customHeight="false" outlineLevel="0" collapsed="false">
      <c r="C6" s="0" t="n">
        <v>512</v>
      </c>
      <c r="D6" s="0" t="n">
        <f aca="false">C6</f>
        <v>512</v>
      </c>
      <c r="E6" s="2" t="n">
        <f aca="false">C6*D6</f>
        <v>262144</v>
      </c>
      <c r="F6" s="0" t="n">
        <v>1.225512</v>
      </c>
      <c r="G6" s="0" t="n">
        <v>0.629426</v>
      </c>
      <c r="I6" s="0" t="n">
        <v>0.270529</v>
      </c>
      <c r="J6" s="3" t="n">
        <f aca="false">F6/G6</f>
        <v>1.94703110453016</v>
      </c>
      <c r="K6" s="0" t="n">
        <v>2.997862</v>
      </c>
      <c r="M6" s="3" t="n">
        <f aca="false">F6/K6</f>
        <v>0.408795334808607</v>
      </c>
      <c r="S6" s="0" t="n">
        <v>4</v>
      </c>
      <c r="T6" s="0" t="n">
        <v>1.94838</v>
      </c>
      <c r="U6" s="4" t="n">
        <f aca="false">$T$4/T6</f>
        <v>2.800863794537</v>
      </c>
      <c r="V6" s="3" t="n">
        <f aca="false">S6</f>
        <v>4</v>
      </c>
    </row>
    <row r="7" customFormat="false" ht="14.25" hidden="false" customHeight="false" outlineLevel="0" collapsed="false">
      <c r="C7" s="0" t="n">
        <f aca="false">C6+$C$6</f>
        <v>1024</v>
      </c>
      <c r="D7" s="0" t="n">
        <f aca="false">C7</f>
        <v>1024</v>
      </c>
      <c r="E7" s="2" t="n">
        <f aca="false">C7*D7</f>
        <v>1048576</v>
      </c>
      <c r="F7" s="0" t="n">
        <v>5.412009</v>
      </c>
      <c r="G7" s="0" t="n">
        <v>3.004999</v>
      </c>
      <c r="I7" s="0" t="n">
        <v>1.259927</v>
      </c>
      <c r="J7" s="3" t="n">
        <f aca="false">F7/G7</f>
        <v>1.80100193044989</v>
      </c>
      <c r="K7" s="0" t="n">
        <v>16.049006</v>
      </c>
      <c r="M7" s="3" t="n">
        <f aca="false">F7/K7</f>
        <v>0.337217706816235</v>
      </c>
      <c r="S7" s="0" t="n">
        <v>8</v>
      </c>
      <c r="T7" s="0" t="n">
        <v>1.481577</v>
      </c>
      <c r="U7" s="4" t="n">
        <f aca="false">$T$4/T7</f>
        <v>3.68333674186357</v>
      </c>
      <c r="V7" s="3" t="n">
        <f aca="false">S7</f>
        <v>8</v>
      </c>
    </row>
    <row r="8" customFormat="false" ht="14.25" hidden="false" customHeight="false" outlineLevel="0" collapsed="false">
      <c r="C8" s="0" t="n">
        <f aca="false">C7+$C$6</f>
        <v>1536</v>
      </c>
      <c r="D8" s="0" t="n">
        <f aca="false">C8</f>
        <v>1536</v>
      </c>
      <c r="E8" s="2" t="n">
        <f aca="false">C8*D8</f>
        <v>2359296</v>
      </c>
      <c r="F8" s="0" t="n">
        <v>12.084238</v>
      </c>
      <c r="G8" s="0" t="n">
        <v>6.635054</v>
      </c>
      <c r="I8" s="0" t="n">
        <v>3.059469</v>
      </c>
      <c r="J8" s="3" t="n">
        <f aca="false">F8/G8</f>
        <v>1.82127198964771</v>
      </c>
      <c r="M8" s="3" t="e">
        <f aca="false">F8/K8</f>
        <v>#DIV/0!</v>
      </c>
    </row>
    <row r="9" customFormat="false" ht="14.25" hidden="false" customHeight="false" outlineLevel="0" collapsed="false">
      <c r="C9" s="0" t="n">
        <f aca="false">C8+$C$6</f>
        <v>2048</v>
      </c>
      <c r="D9" s="0" t="n">
        <f aca="false">C9</f>
        <v>2048</v>
      </c>
      <c r="E9" s="2" t="n">
        <f aca="false">C9*D9</f>
        <v>4194304</v>
      </c>
      <c r="F9" s="0" t="n">
        <v>36.685404</v>
      </c>
      <c r="G9" s="0" t="n">
        <v>11.918227</v>
      </c>
      <c r="I9" s="0" t="n">
        <v>5.533562</v>
      </c>
      <c r="J9" s="3" t="n">
        <f aca="false">F9/G9</f>
        <v>3.07809240418059</v>
      </c>
      <c r="M9" s="3" t="e">
        <f aca="false">F9/K9</f>
        <v>#DIV/0!</v>
      </c>
    </row>
    <row r="10" customFormat="false" ht="14.25" hidden="false" customHeight="false" outlineLevel="0" collapsed="false">
      <c r="C10" s="0" t="n">
        <f aca="false">C9+$C$6</f>
        <v>2560</v>
      </c>
      <c r="D10" s="0" t="n">
        <f aca="false">C10</f>
        <v>2560</v>
      </c>
      <c r="E10" s="2" t="n">
        <f aca="false">C10*D10</f>
        <v>6553600</v>
      </c>
      <c r="F10" s="0" t="n">
        <v>55.596339</v>
      </c>
      <c r="G10" s="0" t="n">
        <v>17.788388</v>
      </c>
      <c r="I10" s="0" t="n">
        <v>8.480952</v>
      </c>
      <c r="J10" s="3" t="n">
        <f aca="false">F10/G10</f>
        <v>3.12542873474539</v>
      </c>
      <c r="M10" s="3" t="e">
        <f aca="false">F10/K10</f>
        <v>#DIV/0!</v>
      </c>
    </row>
    <row r="11" customFormat="false" ht="14.25" hidden="false" customHeight="false" outlineLevel="0" collapsed="false">
      <c r="C11" s="0" t="n">
        <f aca="false">C10+$C$6</f>
        <v>3072</v>
      </c>
      <c r="D11" s="0" t="n">
        <f aca="false">C11</f>
        <v>3072</v>
      </c>
      <c r="E11" s="2" t="n">
        <f aca="false">C11*D11</f>
        <v>9437184</v>
      </c>
      <c r="F11" s="0" t="n">
        <v>77.436316</v>
      </c>
      <c r="G11" s="0" t="n">
        <v>39.829651</v>
      </c>
      <c r="I11" s="0" t="n">
        <v>11.201617</v>
      </c>
      <c r="J11" s="3" t="n">
        <f aca="false">F11/G11</f>
        <v>1.94418766059487</v>
      </c>
      <c r="M11" s="3" t="e">
        <f aca="false">F11/K11</f>
        <v>#DIV/0!</v>
      </c>
    </row>
    <row r="12" customFormat="false" ht="14.25" hidden="false" customHeight="false" outlineLevel="0" collapsed="false">
      <c r="C12" s="0" t="n">
        <f aca="false">C11+$C$6</f>
        <v>3584</v>
      </c>
      <c r="D12" s="0" t="n">
        <f aca="false">C12</f>
        <v>3584</v>
      </c>
      <c r="E12" s="2" t="n">
        <f aca="false">C12*D12</f>
        <v>12845056</v>
      </c>
      <c r="F12" s="0" t="n">
        <v>103.110808</v>
      </c>
      <c r="G12" s="0" t="n">
        <v>54.318331</v>
      </c>
      <c r="H12" s="0" t="n">
        <v>19.529148</v>
      </c>
      <c r="I12" s="0" t="n">
        <v>14.663718</v>
      </c>
      <c r="J12" s="3" t="n">
        <f aca="false">F12/G12</f>
        <v>1.89826907605096</v>
      </c>
      <c r="M12" s="3" t="e">
        <f aca="false">F12/K12</f>
        <v>#DIV/0!</v>
      </c>
    </row>
    <row r="13" customFormat="false" ht="14.25" hidden="false" customHeight="false" outlineLevel="0" collapsed="false">
      <c r="C13" s="0" t="n">
        <f aca="false">C12+$C$6</f>
        <v>4096</v>
      </c>
      <c r="D13" s="0" t="n">
        <f aca="false">C13</f>
        <v>4096</v>
      </c>
      <c r="E13" s="2" t="n">
        <f aca="false">C13*D13</f>
        <v>16777216</v>
      </c>
      <c r="F13" s="0" t="n">
        <v>122.031695</v>
      </c>
      <c r="G13" s="0" t="n">
        <v>71.433652</v>
      </c>
      <c r="H13" s="0" t="n">
        <v>41.751001</v>
      </c>
      <c r="I13" s="0" t="n">
        <v>18.691643</v>
      </c>
      <c r="J13" s="3" t="n">
        <f aca="false">F13/G13</f>
        <v>1.7083222204571</v>
      </c>
      <c r="M13" s="3" t="e">
        <f aca="false">F13/K13</f>
        <v>#DIV/0!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2025-11-28T09:19:33Z</dcterms:created>
  <dc:creator>Ali Houssenaly</dc:creator>
  <dc:description/>
  <dc:language>fr-FR</dc:language>
  <cp:lastModifiedBy/>
  <dcterms:modified xsi:type="dcterms:W3CDTF">2025-12-14T16:29:09Z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