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liho\supaero\SXS\calcul_haute_performance\BE_HPC_MPI\"/>
    </mc:Choice>
  </mc:AlternateContent>
  <xr:revisionPtr revIDLastSave="0" documentId="8_{BD24A453-9C12-409B-85BE-E75B0DCD93E2}" xr6:coauthVersionLast="47" xr6:coauthVersionMax="47" xr10:uidLastSave="{00000000-0000-0000-0000-000000000000}"/>
  <bookViews>
    <workbookView xWindow="-103" yWindow="-103" windowWidth="24892" windowHeight="14914" xr2:uid="{02844EF1-EBC0-4DB6-9710-73B8A0FC4C73}"/>
  </bookViews>
  <sheets>
    <sheet name="Sheet1" sheetId="1" r:id="rId1"/>
  </sheets>
  <definedNames>
    <definedName name="_xlchart.v1.0" hidden="1">Sheet1!$E$4:$E$13</definedName>
    <definedName name="_xlchart.v1.1" hidden="1">Sheet1!$J$4:$J$13</definedName>
    <definedName name="_xlchart.v1.2" hidden="1">Sheet1!$E$4:$E$13</definedName>
    <definedName name="_xlchart.v1.3" hidden="1">Sheet1!$H$4:$H$13</definedName>
    <definedName name="_xlchart.v1.4" hidden="1">Sheet1!$E$4:$E$13</definedName>
    <definedName name="_xlchart.v1.5" hidden="1">Sheet1!$H$4:$H$13</definedName>
    <definedName name="_xlchart.v1.6" hidden="1">Sheet1!$E$4:$E$13</definedName>
    <definedName name="_xlchart.v1.7" hidden="1">Sheet1!$H$4:$H$13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4" i="1"/>
  <c r="P5" i="1"/>
  <c r="P6" i="1"/>
  <c r="P7" i="1"/>
  <c r="P4" i="1"/>
  <c r="J5" i="1"/>
  <c r="J6" i="1"/>
  <c r="J7" i="1"/>
  <c r="J8" i="1"/>
  <c r="J9" i="1"/>
  <c r="J10" i="1"/>
  <c r="J11" i="1"/>
  <c r="J12" i="1"/>
  <c r="J13" i="1"/>
  <c r="J4" i="1"/>
  <c r="C7" i="1"/>
  <c r="C8" i="1" s="1"/>
  <c r="D8" i="1" s="1"/>
  <c r="D5" i="1"/>
  <c r="D4" i="1"/>
  <c r="E4" i="1" s="1"/>
  <c r="E8" i="1" l="1"/>
  <c r="C9" i="1"/>
  <c r="D6" i="1"/>
  <c r="E6" i="1" s="1"/>
  <c r="E5" i="1"/>
  <c r="D9" i="1" l="1"/>
  <c r="E9" i="1" s="1"/>
  <c r="C10" i="1"/>
  <c r="D7" i="1"/>
  <c r="E7" i="1" s="1"/>
  <c r="C11" i="1" l="1"/>
  <c r="D10" i="1"/>
  <c r="E10" i="1"/>
  <c r="C12" i="1" l="1"/>
  <c r="D11" i="1"/>
  <c r="E11" i="1"/>
  <c r="C13" i="1" l="1"/>
  <c r="D12" i="1"/>
  <c r="E12" i="1" s="1"/>
  <c r="D13" i="1" l="1"/>
  <c r="E13" i="1"/>
</calcChain>
</file>

<file path=xl/sharedStrings.xml><?xml version="1.0" encoding="utf-8"?>
<sst xmlns="http://schemas.openxmlformats.org/spreadsheetml/2006/main" count="12" uniqueCount="12">
  <si>
    <t>nx</t>
  </si>
  <si>
    <t>ny</t>
  </si>
  <si>
    <t>temps total</t>
  </si>
  <si>
    <t>taille</t>
  </si>
  <si>
    <t>accélération</t>
  </si>
  <si>
    <t>Algorithme séquentiel</t>
  </si>
  <si>
    <t>Algorithme parallèle (8 proc.)</t>
  </si>
  <si>
    <t>Nombre de processus</t>
  </si>
  <si>
    <t>Accélération observée</t>
  </si>
  <si>
    <t>Accélération idéale</t>
  </si>
  <si>
    <t>Algorithme parallèle (2 proc.)</t>
  </si>
  <si>
    <t>Algorithme parallèle (4 proc.)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</si>
</sst>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_-;\-* #,##0_-;_-* &quot;-&quot;??_-;_-@_-"/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17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Algorithme séquentiel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Sheet1!$E$4:$E$13</c:f>
              <c:numCache>
                <c:formatCode>_-* #\ ##0_-;\-* #\ ##0_-;_-* "-"??_-;_-@_-</c:formatCode>
                <c:ptCount val="10"/>
                <c:pt idx="0">
                  <c:v>64</c:v>
                </c:pt>
                <c:pt idx="1">
                  <c:v>16384</c:v>
                </c:pt>
                <c:pt idx="2">
                  <c:v>262144</c:v>
                </c:pt>
                <c:pt idx="3">
                  <c:v>1048576</c:v>
                </c:pt>
                <c:pt idx="4">
                  <c:v>2359296</c:v>
                </c:pt>
                <c:pt idx="5">
                  <c:v>4194304</c:v>
                </c:pt>
                <c:pt idx="6">
                  <c:v>6553600</c:v>
                </c:pt>
                <c:pt idx="7">
                  <c:v>9437184</c:v>
                </c:pt>
                <c:pt idx="8">
                  <c:v>12845056</c:v>
                </c:pt>
                <c:pt idx="9">
                  <c:v>16777216</c:v>
                </c:pt>
              </c:numCache>
            </c:numRef>
          </c:xVal>
          <c:yVal>
            <c:numRef>
              <c:f>Sheet1!$F$4:$F$13</c:f>
              <c:numCache>
                <c:formatCode>General</c:formatCode>
                <c:ptCount val="10"/>
                <c:pt idx="0">
                  <c:v>3.6499999999999998E-4</c:v>
                </c:pt>
                <c:pt idx="1">
                  <c:v>8.1614000000000006E-2</c:v>
                </c:pt>
                <c:pt idx="2">
                  <c:v>1.2255119999999999</c:v>
                </c:pt>
                <c:pt idx="3">
                  <c:v>5.4120090000000003</c:v>
                </c:pt>
                <c:pt idx="4">
                  <c:v>12.084237999999999</c:v>
                </c:pt>
                <c:pt idx="5">
                  <c:v>36.685403999999998</c:v>
                </c:pt>
                <c:pt idx="6">
                  <c:v>55.596339</c:v>
                </c:pt>
                <c:pt idx="7">
                  <c:v>77.436316000000005</c:v>
                </c:pt>
                <c:pt idx="8">
                  <c:v>103.11080800000001</c:v>
                </c:pt>
                <c:pt idx="9">
                  <c:v>122.031695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09-41EF-8ACC-211B54FA753D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Algorithme parallèle (2 proc.)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Sheet1!$E$4:$E$13</c:f>
              <c:numCache>
                <c:formatCode>_-* #\ ##0_-;\-* #\ ##0_-;_-* "-"??_-;_-@_-</c:formatCode>
                <c:ptCount val="10"/>
                <c:pt idx="0">
                  <c:v>64</c:v>
                </c:pt>
                <c:pt idx="1">
                  <c:v>16384</c:v>
                </c:pt>
                <c:pt idx="2">
                  <c:v>262144</c:v>
                </c:pt>
                <c:pt idx="3">
                  <c:v>1048576</c:v>
                </c:pt>
                <c:pt idx="4">
                  <c:v>2359296</c:v>
                </c:pt>
                <c:pt idx="5">
                  <c:v>4194304</c:v>
                </c:pt>
                <c:pt idx="6">
                  <c:v>6553600</c:v>
                </c:pt>
                <c:pt idx="7">
                  <c:v>9437184</c:v>
                </c:pt>
                <c:pt idx="8">
                  <c:v>12845056</c:v>
                </c:pt>
                <c:pt idx="9">
                  <c:v>16777216</c:v>
                </c:pt>
              </c:numCache>
            </c:numRef>
          </c:xVal>
          <c:yVal>
            <c:numRef>
              <c:f>Sheet1!$G$4:$G$13</c:f>
              <c:numCache>
                <c:formatCode>General</c:formatCode>
                <c:ptCount val="10"/>
                <c:pt idx="0">
                  <c:v>7.4600000000000003E-4</c:v>
                </c:pt>
                <c:pt idx="1">
                  <c:v>4.0375000000000001E-2</c:v>
                </c:pt>
                <c:pt idx="2">
                  <c:v>0.62942600000000004</c:v>
                </c:pt>
                <c:pt idx="3">
                  <c:v>3.0049990000000002</c:v>
                </c:pt>
                <c:pt idx="4">
                  <c:v>6.6350540000000002</c:v>
                </c:pt>
                <c:pt idx="5">
                  <c:v>11.918227</c:v>
                </c:pt>
                <c:pt idx="6">
                  <c:v>17.788388000000001</c:v>
                </c:pt>
                <c:pt idx="7">
                  <c:v>39.829650999999998</c:v>
                </c:pt>
                <c:pt idx="8">
                  <c:v>54.318331000000001</c:v>
                </c:pt>
                <c:pt idx="9">
                  <c:v>71.433651999999995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09-41EF-8ACC-211B54FA7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16080"/>
        <c:axId val="144718000"/>
      </c:scatterChart>
      <c:valAx>
        <c:axId val="14471608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Taille</a:t>
                </a:r>
                <a:r>
                  <a:rPr lang="fr-FR" baseline="0"/>
                  <a:t> du maillage (Nx * Ny)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718000"/>
        <c:crosses val="autoZero"/>
        <c:crossBetween val="midCat"/>
      </c:valAx>
      <c:valAx>
        <c:axId val="1447180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71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Accélération observée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Sheet1!$P$4:$P$7</c:f>
              <c:numCache>
                <c:formatCode>0.0</c:formatCode>
                <c:ptCount val="4"/>
                <c:pt idx="0">
                  <c:v>1</c:v>
                </c:pt>
                <c:pt idx="1">
                  <c:v>1.6745236542724977</c:v>
                </c:pt>
                <c:pt idx="2">
                  <c:v>2.8008637945369999</c:v>
                </c:pt>
                <c:pt idx="3">
                  <c:v>3.6833367418635685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8F-4178-8399-E49373CD4E66}"/>
            </c:ext>
          </c:extLst>
        </c:ser>
        <c:ser>
          <c:idx val="1"/>
          <c:order val="1"/>
          <c:tx>
            <c:strRef>
              <c:f>Sheet1!$Q$3</c:f>
              <c:strCache>
                <c:ptCount val="1"/>
                <c:pt idx="0">
                  <c:v>Accélération idéale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Sheet1!$Q$4:$Q$7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8F-4178-8399-E49373CD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35760"/>
        <c:axId val="144748720"/>
      </c:scatterChart>
      <c:valAx>
        <c:axId val="14473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</a:t>
                </a:r>
                <a:r>
                  <a:rPr lang="fr-FR" baseline="0"/>
                  <a:t> de processus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748720"/>
        <c:crosses val="autoZero"/>
        <c:crossBetween val="midCat"/>
      </c:valAx>
      <c:valAx>
        <c:axId val="144748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Accélération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73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566056</xdr:colOff>
      <xdr:row>15</xdr:row>
      <xdr:rowOff>130628</xdr:rowOff>
    </xdr:from>
    <xdr:to>
      <xdr:col>6</xdr:col>
      <xdr:colOff>1877786</xdr:colOff>
      <xdr:row>34</xdr:row>
      <xdr:rowOff>163285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1F2E7-3724-6668-522E-76530919D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38099</xdr:colOff>
      <xdr:row>9</xdr:row>
      <xdr:rowOff>63499</xdr:rowOff>
    </xdr:from>
    <xdr:to>
      <xdr:col>28</xdr:col>
      <xdr:colOff>508001</xdr:colOff>
      <xdr:row>30</xdr:row>
      <xdr:rowOff>150585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110038-EEF9-6BCB-1C80-2DD250AC3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59D4-4EDC-4D17-96D1-612B7DC4D37C}">
  <dimension ref="C3:Q13"/>
  <sheetViews>
    <sheetView showGridLines="0" tabSelected="1" zoomScale="60" workbookViewId="0">
      <selection activeCell="H12" sqref="H12"/>
    </sheetView>
  </sheetViews>
  <sheetFormatPr defaultRowHeight="14.6" x14ac:dyDescent="0.4"/>
  <cols>
    <col min="1" max="1" width="3.3828125" customWidth="1"/>
    <col min="3" max="4" width="8.4609375" customWidth="1"/>
    <col min="5" max="5" width="18.921875" customWidth="1"/>
    <col min="6" max="6" width="19.3828125" customWidth="1"/>
    <col min="7" max="9" width="35.53515625" customWidth="1"/>
    <col min="10" max="10" width="8.4609375" customWidth="1"/>
    <col min="16" max="16" width="9.3828125" bestFit="1" customWidth="1"/>
  </cols>
  <sheetData>
    <row r="3" spans="3:17" x14ac:dyDescent="0.4">
      <c r="C3" t="s">
        <v>0</v>
      </c>
      <c r="D3" t="s">
        <v>1</v>
      </c>
      <c r="E3" t="s">
        <v>3</v>
      </c>
      <c r="F3" t="s">
        <v>5</v>
      </c>
      <c r="G3" t="s">
        <v>10</v>
      </c>
      <c r="H3" t="s">
        <v>11</v>
      </c>
      <c r="I3" t="s">
        <v>6</v>
      </c>
      <c r="J3" t="s">
        <v>4</v>
      </c>
      <c r="N3" t="s">
        <v>7</v>
      </c>
      <c r="O3" t="s">
        <v>2</v>
      </c>
      <c r="P3" t="s">
        <v>8</v>
      </c>
      <c r="Q3" t="s">
        <v>9</v>
      </c>
    </row>
    <row r="4" spans="3:17" x14ac:dyDescent="0.4">
      <c r="C4">
        <v>8</v>
      </c>
      <c r="D4">
        <f>C4</f>
        <v>8</v>
      </c>
      <c r="E4" s="1">
        <f>C4*D4</f>
        <v>64</v>
      </c>
      <c r="F4">
        <v>3.6499999999999998E-4</v>
      </c>
      <c r="G4">
        <v>7.4600000000000003E-4</v>
      </c>
      <c r="I4">
        <v>1.1583E-2</v>
      </c>
      <c r="J4">
        <f>F4/G4</f>
        <v>0.4892761394101876</v>
      </c>
      <c r="N4">
        <v>1</v>
      </c>
      <c r="O4">
        <v>5.457147</v>
      </c>
      <c r="P4" s="2">
        <f>$O$4/O4</f>
        <v>1</v>
      </c>
      <c r="Q4">
        <f>N4</f>
        <v>1</v>
      </c>
    </row>
    <row r="5" spans="3:17" x14ac:dyDescent="0.4">
      <c r="C5">
        <v>128</v>
      </c>
      <c r="D5">
        <f t="shared" ref="D5:D13" si="0">C5</f>
        <v>128</v>
      </c>
      <c r="E5" s="1">
        <f t="shared" ref="E5:E13" si="1">C5*D5</f>
        <v>16384</v>
      </c>
      <c r="F5">
        <v>8.1614000000000006E-2</v>
      </c>
      <c r="G5">
        <v>4.0375000000000001E-2</v>
      </c>
      <c r="I5">
        <v>9.3756000000000006E-2</v>
      </c>
      <c r="J5">
        <f t="shared" ref="J5:J13" si="2">F5/G5</f>
        <v>2.0213993808049535</v>
      </c>
      <c r="N5">
        <v>2</v>
      </c>
      <c r="O5">
        <v>3.2589250000000001</v>
      </c>
      <c r="P5" s="2">
        <f t="shared" ref="P5:P7" si="3">$O$4/O5</f>
        <v>1.6745236542724977</v>
      </c>
      <c r="Q5">
        <f t="shared" ref="Q5:Q7" si="4">N5</f>
        <v>2</v>
      </c>
    </row>
    <row r="6" spans="3:17" x14ac:dyDescent="0.4">
      <c r="C6">
        <v>512</v>
      </c>
      <c r="D6">
        <f t="shared" si="0"/>
        <v>512</v>
      </c>
      <c r="E6" s="1">
        <f t="shared" si="1"/>
        <v>262144</v>
      </c>
      <c r="F6">
        <v>1.2255119999999999</v>
      </c>
      <c r="G6">
        <v>0.62942600000000004</v>
      </c>
      <c r="I6">
        <v>0.27052900000000002</v>
      </c>
      <c r="J6">
        <f t="shared" si="2"/>
        <v>1.9470311045301589</v>
      </c>
      <c r="N6">
        <v>4</v>
      </c>
      <c r="O6">
        <v>1.94838</v>
      </c>
      <c r="P6" s="2">
        <f t="shared" si="3"/>
        <v>2.8008637945369999</v>
      </c>
      <c r="Q6">
        <f t="shared" si="4"/>
        <v>4</v>
      </c>
    </row>
    <row r="7" spans="3:17" x14ac:dyDescent="0.4">
      <c r="C7">
        <f>C6+$C$6</f>
        <v>1024</v>
      </c>
      <c r="D7">
        <f t="shared" si="0"/>
        <v>1024</v>
      </c>
      <c r="E7" s="1">
        <f t="shared" si="1"/>
        <v>1048576</v>
      </c>
      <c r="F7">
        <v>5.4120090000000003</v>
      </c>
      <c r="G7">
        <v>3.0049990000000002</v>
      </c>
      <c r="I7">
        <v>1.259927</v>
      </c>
      <c r="J7">
        <f t="shared" si="2"/>
        <v>1.8010019304498937</v>
      </c>
      <c r="N7">
        <v>8</v>
      </c>
      <c r="O7">
        <v>1.4815769999999999</v>
      </c>
      <c r="P7" s="2">
        <f t="shared" si="3"/>
        <v>3.6833367418635685</v>
      </c>
      <c r="Q7">
        <f t="shared" si="4"/>
        <v>8</v>
      </c>
    </row>
    <row r="8" spans="3:17" x14ac:dyDescent="0.4">
      <c r="C8">
        <f>C7+$C$6</f>
        <v>1536</v>
      </c>
      <c r="D8">
        <f t="shared" si="0"/>
        <v>1536</v>
      </c>
      <c r="E8" s="1">
        <f t="shared" si="1"/>
        <v>2359296</v>
      </c>
      <c r="F8">
        <v>12.084237999999999</v>
      </c>
      <c r="G8">
        <v>6.6350540000000002</v>
      </c>
      <c r="I8">
        <v>3.059469</v>
      </c>
      <c r="J8">
        <f t="shared" si="2"/>
        <v>1.8212719896477103</v>
      </c>
    </row>
    <row r="9" spans="3:17" x14ac:dyDescent="0.4">
      <c r="C9">
        <f>C8+$C$6</f>
        <v>2048</v>
      </c>
      <c r="D9">
        <f t="shared" si="0"/>
        <v>2048</v>
      </c>
      <c r="E9" s="1">
        <f t="shared" si="1"/>
        <v>4194304</v>
      </c>
      <c r="F9">
        <v>36.685403999999998</v>
      </c>
      <c r="G9">
        <v>11.918227</v>
      </c>
      <c r="I9">
        <v>5.5335619999999999</v>
      </c>
      <c r="J9">
        <f t="shared" si="2"/>
        <v>3.0780924041805879</v>
      </c>
    </row>
    <row r="10" spans="3:17" x14ac:dyDescent="0.4">
      <c r="C10">
        <f t="shared" ref="C10:C15" si="5">C9+$C$6</f>
        <v>2560</v>
      </c>
      <c r="D10">
        <f t="shared" si="0"/>
        <v>2560</v>
      </c>
      <c r="E10" s="1">
        <f t="shared" si="1"/>
        <v>6553600</v>
      </c>
      <c r="F10">
        <v>55.596339</v>
      </c>
      <c r="G10">
        <v>17.788388000000001</v>
      </c>
      <c r="I10">
        <v>8.4809520000000003</v>
      </c>
      <c r="J10">
        <f t="shared" si="2"/>
        <v>3.1254287347453853</v>
      </c>
    </row>
    <row r="11" spans="3:17" x14ac:dyDescent="0.4">
      <c r="C11">
        <f t="shared" si="5"/>
        <v>3072</v>
      </c>
      <c r="D11">
        <f t="shared" si="0"/>
        <v>3072</v>
      </c>
      <c r="E11" s="1">
        <f t="shared" si="1"/>
        <v>9437184</v>
      </c>
      <c r="F11">
        <v>77.436316000000005</v>
      </c>
      <c r="G11">
        <v>39.829650999999998</v>
      </c>
      <c r="I11">
        <v>11.201617000000001</v>
      </c>
      <c r="J11">
        <f t="shared" si="2"/>
        <v>1.9441876605948671</v>
      </c>
    </row>
    <row r="12" spans="3:17" x14ac:dyDescent="0.4">
      <c r="C12">
        <f t="shared" si="5"/>
        <v>3584</v>
      </c>
      <c r="D12">
        <f t="shared" si="0"/>
        <v>3584</v>
      </c>
      <c r="E12" s="1">
        <f t="shared" si="1"/>
        <v>12845056</v>
      </c>
      <c r="F12">
        <v>103.11080800000001</v>
      </c>
      <c r="G12">
        <v>54.318331000000001</v>
      </c>
      <c r="H12">
        <v>19.529147999999999</v>
      </c>
      <c r="I12">
        <v>14.663717999999999</v>
      </c>
      <c r="J12">
        <f t="shared" si="2"/>
        <v>1.898269076050956</v>
      </c>
    </row>
    <row r="13" spans="3:17" x14ac:dyDescent="0.4">
      <c r="C13">
        <f t="shared" si="5"/>
        <v>4096</v>
      </c>
      <c r="D13">
        <f t="shared" si="0"/>
        <v>4096</v>
      </c>
      <c r="E13" s="1">
        <f t="shared" si="1"/>
        <v>16777216</v>
      </c>
      <c r="F13">
        <v>122.031695</v>
      </c>
      <c r="G13">
        <v>71.433651999999995</v>
      </c>
      <c r="H13">
        <v>41.751001000000002</v>
      </c>
      <c r="I13">
        <v>18.691642999999999</v>
      </c>
      <c r="J13">
        <f t="shared" si="2"/>
        <v>1.7083222204571034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Houssenaly</dc:creator>
  <cp:lastModifiedBy>Ali Houssenaly</cp:lastModifiedBy>
  <dcterms:created xsi:type="dcterms:W3CDTF">2025-11-28T09:19:33Z</dcterms:created>
  <dcterms:modified xsi:type="dcterms:W3CDTF">2025-12-13T12:53:19Z</dcterms:modified>
</cp:coreProperties>
</file>